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"/>
    </mc:Choice>
  </mc:AlternateContent>
  <xr:revisionPtr revIDLastSave="0" documentId="13_ncr:1_{E9547F72-2E26-44CA-ACF6-89FA4425B360}" xr6:coauthVersionLast="47" xr6:coauthVersionMax="47" xr10:uidLastSave="{00000000-0000-0000-0000-000000000000}"/>
  <bookViews>
    <workbookView xWindow="-108" yWindow="-108" windowWidth="23256" windowHeight="1257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5" i="3" l="1"/>
  <c r="C25" i="3"/>
</calcChain>
</file>

<file path=xl/sharedStrings.xml><?xml version="1.0" encoding="utf-8"?>
<sst xmlns="http://schemas.openxmlformats.org/spreadsheetml/2006/main" count="2028" uniqueCount="326">
  <si>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</si>
  <si>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</si>
  <si>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</si>
  <si>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</si>
  <si>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</si>
  <si>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</si>
  <si>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</si>
  <si>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</si>
  <si>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</si>
  <si>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</si>
  <si>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</si>
  <si>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</si>
  <si>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</si>
  <si>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</si>
  <si>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</si>
  <si>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</si>
  <si>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</si>
  <si>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</si>
  <si>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</si>
  <si>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</si>
  <si>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</si>
  <si>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</si>
  <si>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</si>
  <si>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</si>
  <si>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</si>
  <si>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</si>
  <si>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</si>
  <si>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</si>
  <si>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</si>
  <si>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</si>
  <si>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</si>
  <si>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</si>
  <si>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</si>
  <si>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</si>
  <si>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</si>
  <si>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</si>
  <si>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</si>
  <si>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</si>
  <si>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</si>
  <si>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</si>
  <si>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</si>
  <si>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</si>
  <si>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</si>
  <si>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</si>
  <si>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</si>
  <si>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</si>
  <si>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</si>
  <si>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</si>
  <si>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</si>
  <si>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</si>
  <si>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</si>
  <si>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</si>
  <si>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</si>
  <si>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</si>
  <si>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</si>
  <si>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</si>
  <si>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</si>
  <si>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</si>
  <si>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</si>
  <si>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</si>
  <si>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</si>
  <si>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</si>
  <si>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</si>
  <si>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</si>
  <si>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</si>
  <si>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</si>
  <si>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</si>
  <si>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</si>
  <si>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</si>
  <si>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</si>
  <si>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</si>
  <si>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</si>
  <si>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</si>
  <si>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</si>
  <si>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</si>
  <si>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</si>
  <si>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</si>
  <si>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</si>
  <si>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</si>
  <si>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</si>
  <si>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</si>
  <si>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</si>
  <si>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</si>
  <si>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</si>
  <si>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</si>
  <si>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</si>
  <si>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</si>
  <si>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</si>
  <si>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</si>
  <si>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</si>
  <si>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</si>
  <si>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</si>
  <si>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</si>
  <si>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</si>
  <si>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</si>
  <si>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</si>
  <si>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</si>
  <si>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</si>
  <si>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</si>
  <si>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</si>
  <si>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</si>
  <si>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</si>
  <si>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</si>
  <si>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</si>
  <si>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</si>
  <si>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</si>
  <si>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</si>
  <si>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</si>
  <si>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</si>
  <si>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</si>
  <si>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</si>
  <si>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</si>
  <si>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</si>
  <si>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</si>
  <si>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</si>
  <si>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</si>
  <si>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</si>
  <si>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</si>
  <si>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</si>
  <si>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</si>
  <si>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</si>
  <si>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</si>
  <si>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</si>
  <si>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</si>
  <si>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</si>
  <si>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</si>
  <si>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</si>
  <si>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</si>
  <si>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</si>
  <si>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</si>
  <si>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</si>
  <si>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</si>
  <si>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</si>
  <si>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</si>
  <si>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</si>
  <si>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</si>
  <si>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</si>
  <si>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</si>
  <si>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</si>
  <si>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</si>
  <si>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</si>
  <si>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</si>
  <si>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</si>
  <si>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</si>
  <si>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</si>
  <si>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</si>
  <si>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</si>
  <si>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</si>
  <si>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</si>
  <si>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</si>
  <si>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</si>
  <si>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</si>
  <si>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</si>
  <si>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</si>
  <si>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</si>
  <si>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</si>
  <si>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</si>
  <si>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</si>
  <si>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</si>
  <si>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</si>
  <si>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</si>
  <si>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</si>
  <si>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</si>
  <si>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</si>
  <si>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</si>
  <si>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</si>
  <si>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</si>
  <si>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</si>
  <si>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</si>
  <si>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</si>
  <si>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</si>
  <si>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</si>
  <si>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</si>
  <si>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</si>
  <si>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</si>
  <si>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</si>
  <si>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</si>
  <si>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</si>
  <si>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</si>
  <si>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</si>
  <si>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</si>
  <si>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</si>
  <si>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</si>
  <si>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</si>
  <si>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</si>
  <si>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</si>
  <si>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</si>
  <si>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</si>
  <si>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</si>
  <si>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</si>
  <si>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</si>
  <si>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</si>
  <si>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</si>
  <si>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</si>
  <si>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</si>
  <si>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</si>
  <si>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</si>
  <si>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</si>
  <si>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</si>
  <si>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</si>
  <si>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</si>
  <si>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</si>
  <si>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</si>
  <si>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</si>
  <si>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</si>
  <si>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</si>
  <si>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</si>
  <si>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</si>
  <si>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</si>
  <si>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</si>
  <si>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</si>
  <si>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</si>
  <si>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</si>
  <si>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</si>
  <si>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</si>
  <si>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</si>
  <si>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</si>
  <si>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</si>
  <si>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</si>
  <si>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</si>
  <si>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</si>
  <si>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</si>
  <si>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</si>
  <si>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</si>
  <si>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</si>
  <si>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</si>
  <si>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</si>
  <si>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</si>
  <si>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</si>
  <si>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</si>
  <si>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</si>
  <si>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</si>
  <si>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</si>
  <si>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</si>
  <si>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</si>
  <si>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</si>
  <si>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</si>
  <si>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</si>
  <si>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</si>
  <si>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</si>
  <si>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</si>
  <si>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</si>
  <si>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</si>
  <si>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</si>
  <si>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</si>
  <si>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</si>
  <si>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</si>
  <si>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</si>
  <si>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</si>
  <si>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</si>
  <si>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</si>
  <si>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</si>
  <si>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</si>
  <si>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</si>
  <si>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</si>
  <si>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</si>
  <si>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</si>
  <si>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</si>
  <si>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</si>
  <si>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</si>
  <si>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</si>
  <si>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</si>
  <si>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</si>
  <si>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</si>
  <si>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</si>
  <si>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</si>
  <si>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</si>
  <si>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</si>
  <si>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</si>
  <si>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</si>
  <si>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</si>
  <si>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</si>
  <si>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</si>
  <si>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</si>
  <si>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</si>
  <si>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</si>
  <si>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</si>
  <si>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</si>
  <si>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</si>
  <si>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</si>
  <si>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</si>
  <si>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</si>
  <si>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</si>
  <si>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</si>
  <si>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</si>
  <si>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</si>
  <si>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</si>
  <si>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</si>
  <si>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</si>
  <si>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</si>
  <si>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</si>
  <si>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</si>
  <si>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</si>
  <si>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</si>
  <si>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</si>
  <si>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</si>
  <si>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</si>
  <si>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</si>
  <si>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</si>
  <si>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</si>
  <si>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</si>
  <si>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</si>
  <si>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</si>
  <si>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</si>
  <si>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</si>
  <si>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</si>
  <si>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</si>
  <si>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</si>
  <si>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</si>
  <si>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</si>
  <si>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</si>
  <si>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</si>
  <si>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</si>
  <si>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1-  Qual faturamento total de vendas de planos anuais?</t>
  </si>
  <si>
    <t>Soma de Total Value</t>
  </si>
  <si>
    <t>Rótulos de Linha</t>
  </si>
  <si>
    <t>Total Geral</t>
  </si>
  <si>
    <t>Pergunta de Negócio 2- Qual faturamento total de vendas de planos anuais? (separados por auto renovação e não auto renovação)</t>
  </si>
  <si>
    <t xml:space="preserve">XBOX GAME PASS SUBSCRIPTIONS SALES </t>
  </si>
  <si>
    <t>Soma de EA Play Season Pass</t>
  </si>
  <si>
    <t>Pergunta de Negócio 3- Qual o total de vendas de assinaturas do EA Play?</t>
  </si>
  <si>
    <t>Pergunta de negócio 4- Total de vendas de Assinaturas do Minecraft Season Pass</t>
  </si>
  <si>
    <t>Soma de Minecraft Season Pass Price</t>
  </si>
  <si>
    <t xml:space="preserve">      Calculation period: 01/01/2024 - 31/12/2024 | Update date: 11/01/2026 22:00</t>
  </si>
  <si>
    <t>No auto reneawl</t>
  </si>
  <si>
    <t>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</si>
</sst>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0"/>
      <color theme="0" tint="-0.499984740745262"/>
      <name val="Segoe UI"/>
      <family val="2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164" fontId="0" fillId="0" borderId="0" xfId="0" applyNumberFormat="1"/>
    <xf numFmtId="0" fontId="4" fillId="0" borderId="2" xfId="1" applyFont="1" applyBorder="1" applyAlignment="1"/>
    <xf numFmtId="0" fontId="0" fillId="0" borderId="0" xfId="0" applyBorder="1"/>
    <xf numFmtId="0" fontId="0" fillId="0" borderId="2" xfId="0" applyBorder="1"/>
    <xf numFmtId="0" fontId="5" fillId="0" borderId="2" xfId="1" applyFont="1" applyBorder="1" applyAlignment="1"/>
    <xf numFmtId="0" fontId="6" fillId="7" borderId="0" xfId="0" applyFont="1" applyFill="1"/>
    <xf numFmtId="0" fontId="7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F635BB8-744C-4EC3-971A-1FBF75F93B01}">
      <tableStyleElement type="wholeTable" dxfId="15"/>
      <tableStyleElement type="headerRow" dxfId="14"/>
    </tableStyle>
  </tableStyles>
  <colors>
    <mruColors>
      <color rgb="FF22C55E"/>
      <color rgb="FF000000"/>
      <color rgb="FF5BF6A8"/>
      <color rgb="FF9BC848"/>
      <color rgb="FFE8E6E9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[805d54f9-6d53-4246-bed7-4aa2da615923.xlsx]C̳álculos!anual_total</c:name>
    <c:fmtId val="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38030335236886"/>
          <c:y val="0.19703266258384369"/>
          <c:w val="0.87261970945576428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C̳álculos!$A$13:$A$15</c:f>
              <c:strCache>
                <c:ptCount val="2"/>
                <c:pt idx="0">
                  <c:v>No auto reneawl</c:v>
                </c:pt>
                <c:pt idx="1">
                  <c:v>Auto renewal</c:v>
                </c:pt>
              </c:strCache>
            </c:strRef>
          </c:cat>
          <c:val>
            <c:numRef>
              <c:f>C̳álculos!$B$13:$B$15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8-473E-95CA-ADBAA1B2F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301631"/>
        <c:axId val="1156296831"/>
      </c:barChart>
      <c:catAx>
        <c:axId val="115630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6296831"/>
        <c:crosses val="autoZero"/>
        <c:auto val="1"/>
        <c:lblAlgn val="ctr"/>
        <c:lblOffset val="100"/>
        <c:noMultiLvlLbl val="0"/>
      </c:catAx>
      <c:valAx>
        <c:axId val="1156296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630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image" Target="../media/image8.png"/><Relationship Id="rId7" Type="http://schemas.openxmlformats.org/officeDocument/2006/relationships/image" Target="../media/image3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0</xdr:col>
      <xdr:colOff>1685925</xdr:colOff>
      <xdr:row>4</xdr:row>
      <xdr:rowOff>164973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818FDE4-9335-4BF9-BB1F-5B3B17024F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r="36303"/>
        <a:stretch/>
      </xdr:blipFill>
      <xdr:spPr>
        <a:xfrm>
          <a:off x="76200" y="0"/>
          <a:ext cx="1609725" cy="984123"/>
        </a:xfrm>
        <a:prstGeom prst="rect">
          <a:avLst/>
        </a:prstGeom>
      </xdr:spPr>
    </xdr:pic>
    <xdr:clientData/>
  </xdr:twoCellAnchor>
  <xdr:twoCellAnchor>
    <xdr:from>
      <xdr:col>2</xdr:col>
      <xdr:colOff>219075</xdr:colOff>
      <xdr:row>5</xdr:row>
      <xdr:rowOff>161925</xdr:rowOff>
    </xdr:from>
    <xdr:to>
      <xdr:col>9</xdr:col>
      <xdr:colOff>352425</xdr:colOff>
      <xdr:row>13</xdr:row>
      <xdr:rowOff>4167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A959BE6E-8CA0-66DA-28EA-E32A32303FC6}"/>
            </a:ext>
          </a:extLst>
        </xdr:cNvPr>
        <xdr:cNvGrpSpPr/>
      </xdr:nvGrpSpPr>
      <xdr:grpSpPr>
        <a:xfrm>
          <a:off x="2253615" y="1183005"/>
          <a:ext cx="4400550" cy="1571982"/>
          <a:chOff x="2314575" y="1104900"/>
          <a:chExt cx="4400550" cy="1528167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1C4E1ADC-4BF9-F916-5967-F92A88164F93}"/>
              </a:ext>
            </a:extLst>
          </xdr:cNvPr>
          <xdr:cNvSpPr/>
        </xdr:nvSpPr>
        <xdr:spPr>
          <a:xfrm>
            <a:off x="2314575" y="1104900"/>
            <a:ext cx="4400550" cy="1409700"/>
          </a:xfrm>
          <a:prstGeom prst="roundRect">
            <a:avLst>
              <a:gd name="adj" fmla="val 743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5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CC35E90-0E59-41B6-A3E1-38B2A85D89E5}"/>
              </a:ext>
            </a:extLst>
          </xdr:cNvPr>
          <xdr:cNvSpPr/>
        </xdr:nvSpPr>
        <xdr:spPr>
          <a:xfrm>
            <a:off x="3819526" y="1468755"/>
            <a:ext cx="2638424" cy="895350"/>
          </a:xfrm>
          <a:prstGeom prst="roundRect">
            <a:avLst>
              <a:gd name="adj" fmla="val 399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D862E6F-7719-4D78-B3CC-79E6892A6042}" type="TxLink">
              <a:rPr lang="en-US" sz="28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7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4EB146C8-48AF-48A8-92A5-3B9CF5F14D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6025" y="1266825"/>
            <a:ext cx="1428750" cy="1366242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B1795C65-EC19-1236-A1E5-3A4D8517D98F}"/>
              </a:ext>
            </a:extLst>
          </xdr:cNvPr>
          <xdr:cNvSpPr/>
        </xdr:nvSpPr>
        <xdr:spPr>
          <a:xfrm>
            <a:off x="2324100" y="1114425"/>
            <a:ext cx="4381500" cy="419099"/>
          </a:xfrm>
          <a:prstGeom prst="round2SameRect">
            <a:avLst>
              <a:gd name="adj1" fmla="val 16667"/>
              <a:gd name="adj2" fmla="val 10345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314325</xdr:colOff>
      <xdr:row>5</xdr:row>
      <xdr:rowOff>161925</xdr:rowOff>
    </xdr:from>
    <xdr:to>
      <xdr:col>18</xdr:col>
      <xdr:colOff>0</xdr:colOff>
      <xdr:row>12</xdr:row>
      <xdr:rowOff>66675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84E00489-9CD8-C0F3-95EC-F356F19B3AAE}"/>
            </a:ext>
          </a:extLst>
        </xdr:cNvPr>
        <xdr:cNvGrpSpPr/>
      </xdr:nvGrpSpPr>
      <xdr:grpSpPr>
        <a:xfrm>
          <a:off x="7225665" y="1183005"/>
          <a:ext cx="4402455" cy="1451610"/>
          <a:chOff x="7248525" y="1104900"/>
          <a:chExt cx="4400550" cy="1409700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7749F149-1288-46E1-B78B-1CD8D67F3CF7}"/>
              </a:ext>
            </a:extLst>
          </xdr:cNvPr>
          <xdr:cNvGrpSpPr/>
        </xdr:nvGrpSpPr>
        <xdr:grpSpPr>
          <a:xfrm>
            <a:off x="7248525" y="1104900"/>
            <a:ext cx="4400550" cy="1409700"/>
            <a:chOff x="2314575" y="1104900"/>
            <a:chExt cx="4400550" cy="1409700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B834402-077E-5E6B-1C08-84324086FC01}"/>
                </a:ext>
              </a:extLst>
            </xdr:cNvPr>
            <xdr:cNvSpPr/>
          </xdr:nvSpPr>
          <xdr:spPr>
            <a:xfrm>
              <a:off x="2314575" y="1104900"/>
              <a:ext cx="4400550" cy="1409700"/>
            </a:xfrm>
            <a:prstGeom prst="roundRect">
              <a:avLst>
                <a:gd name="adj" fmla="val 743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C35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CBBEDCE2-BE0D-E402-C162-FB737DC52066}"/>
                </a:ext>
              </a:extLst>
            </xdr:cNvPr>
            <xdr:cNvSpPr/>
          </xdr:nvSpPr>
          <xdr:spPr>
            <a:xfrm>
              <a:off x="3819526" y="1468755"/>
              <a:ext cx="2638424" cy="895350"/>
            </a:xfrm>
            <a:prstGeom prst="roundRect">
              <a:avLst>
                <a:gd name="adj" fmla="val 399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BB979D0-DDF7-4F1A-9387-065B143C2A5E}" type="TxLink">
                <a:rPr lang="en-US" sz="28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R$ 940,00 </a:t>
              </a:fld>
              <a:endParaRPr lang="pt-BR" sz="287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0B7B230B-FC95-E11F-B1C6-D8C39DAA1268}"/>
                </a:ext>
              </a:extLst>
            </xdr:cNvPr>
            <xdr:cNvSpPr/>
          </xdr:nvSpPr>
          <xdr:spPr>
            <a:xfrm>
              <a:off x="2324100" y="1114425"/>
              <a:ext cx="4381500" cy="419099"/>
            </a:xfrm>
            <a:prstGeom prst="round2SameRect">
              <a:avLst>
                <a:gd name="adj1" fmla="val 16667"/>
                <a:gd name="adj2" fmla="val 10345"/>
              </a:avLst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816834A4-20F5-4ADB-A2E8-E5F24AE6232D}"/>
              </a:ext>
            </a:extLst>
          </xdr:cNvPr>
          <xdr:cNvGrpSpPr/>
        </xdr:nvGrpSpPr>
        <xdr:grpSpPr>
          <a:xfrm>
            <a:off x="7505700" y="1666875"/>
            <a:ext cx="1266825" cy="638175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C85F349B-E324-B75C-35A4-B743748E29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87973402-AB0F-80C2-8BA9-6D5EC8F1C8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185110</xdr:colOff>
      <xdr:row>15</xdr:row>
      <xdr:rowOff>47625</xdr:rowOff>
    </xdr:from>
    <xdr:to>
      <xdr:col>18</xdr:col>
      <xdr:colOff>1</xdr:colOff>
      <xdr:row>31</xdr:row>
      <xdr:rowOff>66675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BE598A9A-3B06-42B2-A8C3-DDF77A4EE276}"/>
            </a:ext>
          </a:extLst>
        </xdr:cNvPr>
        <xdr:cNvGrpSpPr/>
      </xdr:nvGrpSpPr>
      <xdr:grpSpPr>
        <a:xfrm>
          <a:off x="2219650" y="3164205"/>
          <a:ext cx="9408471" cy="2945130"/>
          <a:chOff x="2306705" y="3038475"/>
          <a:chExt cx="9485245" cy="2914650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DF00C245-90E0-D239-21D0-B7B3670637F1}"/>
              </a:ext>
            </a:extLst>
          </xdr:cNvPr>
          <xdr:cNvGrpSpPr/>
        </xdr:nvGrpSpPr>
        <xdr:grpSpPr>
          <a:xfrm>
            <a:off x="2306705" y="3038475"/>
            <a:ext cx="9485244" cy="2914650"/>
            <a:chOff x="2152650" y="1133475"/>
            <a:chExt cx="4324350" cy="2914650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03105A07-729E-0873-90E6-284457771B01}"/>
                </a:ext>
              </a:extLst>
            </xdr:cNvPr>
            <xdr:cNvSpPr/>
          </xdr:nvSpPr>
          <xdr:spPr>
            <a:xfrm>
              <a:off x="2152650" y="1162050"/>
              <a:ext cx="4324350" cy="2886075"/>
            </a:xfrm>
            <a:prstGeom prst="roundRect">
              <a:avLst>
                <a:gd name="adj" fmla="val 676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D07F047-2C9B-48A9-B674-0CF8D7A7DA26}"/>
                </a:ext>
              </a:extLst>
            </xdr:cNvPr>
            <xdr:cNvGraphicFramePr>
              <a:graphicFrameLocks/>
            </xdr:cNvGraphicFramePr>
          </xdr:nvGraphicFramePr>
          <xdr:xfrm>
            <a:off x="2152650" y="1133475"/>
            <a:ext cx="4184765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1058A354-3501-4E88-A6E0-1DDCAC9FF157}"/>
              </a:ext>
            </a:extLst>
          </xdr:cNvPr>
          <xdr:cNvSpPr/>
        </xdr:nvSpPr>
        <xdr:spPr>
          <a:xfrm>
            <a:off x="2306706" y="3076575"/>
            <a:ext cx="9485244" cy="419099"/>
          </a:xfrm>
          <a:prstGeom prst="round2SameRect">
            <a:avLst>
              <a:gd name="adj1" fmla="val 16667"/>
              <a:gd name="adj2" fmla="val 10345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5</xdr:row>
      <xdr:rowOff>76200</xdr:rowOff>
    </xdr:from>
    <xdr:to>
      <xdr:col>1</xdr:col>
      <xdr:colOff>0</xdr:colOff>
      <xdr:row>18</xdr:row>
      <xdr:rowOff>38100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AC0F014C-0933-60B2-B9C2-79C317F2926F}"/>
            </a:ext>
          </a:extLst>
        </xdr:cNvPr>
        <xdr:cNvGrpSpPr/>
      </xdr:nvGrpSpPr>
      <xdr:grpSpPr>
        <a:xfrm>
          <a:off x="0" y="1097280"/>
          <a:ext cx="1790700" cy="2606040"/>
          <a:chOff x="76200" y="1971675"/>
          <a:chExt cx="1790700" cy="2581275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Subscription Type 1">
                <a:extLst>
                  <a:ext uri="{FF2B5EF4-FFF2-40B4-BE49-F238E27FC236}">
                    <a16:creationId xmlns:a16="http://schemas.microsoft.com/office/drawing/2014/main" id="{838C7E88-CCEB-4D50-AD38-47E2A13ADC32}"/>
                  </a:ext>
                </a:extLst>
              </xdr:cNvPr>
              <xdr:cNvGraphicFramePr/>
            </xdr:nvGraphicFramePr>
            <xdr:xfrm>
              <a:off x="76200" y="1971675"/>
              <a:ext cx="1790700" cy="2581275"/>
            </xdr:xfrm>
            <a:graphic>
              <a:graphicData uri="http://schemas.microsoft.com/office/drawing/2010/slicer">
                <sle:slicer xmlns:sle="http://schemas.microsoft.com/office/drawing/2010/slicer" name="Subscription Type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0" y="1104900"/>
                <a:ext cx="1790700" cy="25812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28" name="Retângulo 27">
            <a:extLst>
              <a:ext uri="{FF2B5EF4-FFF2-40B4-BE49-F238E27FC236}">
                <a16:creationId xmlns:a16="http://schemas.microsoft.com/office/drawing/2014/main" id="{2E3D40A7-9171-EABF-3557-6BA511A7DAEE}"/>
              </a:ext>
            </a:extLst>
          </xdr:cNvPr>
          <xdr:cNvSpPr/>
        </xdr:nvSpPr>
        <xdr:spPr>
          <a:xfrm>
            <a:off x="1485900" y="1971675"/>
            <a:ext cx="304800" cy="278876"/>
          </a:xfrm>
          <a:prstGeom prst="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9" name="Gráfico 28" descr="Lupa com preenchimento sólido">
            <a:extLst>
              <a:ext uri="{FF2B5EF4-FFF2-40B4-BE49-F238E27FC236}">
                <a16:creationId xmlns:a16="http://schemas.microsoft.com/office/drawing/2014/main" id="{2B4050F4-D3CF-4550-8B5E-EE2BEBF426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485900" y="2047402"/>
            <a:ext cx="200025" cy="193624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 Briano" refreshedDate="46032.888303356478" createdVersion="8" refreshedVersion="8" minRefreshableVersion="3" recordCount="295" xr:uid="{30B824C1-3082-4D51-9146-4EF6A490659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10556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2FEA6-C74D-4BFC-9894-1D22038FA0B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1:B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814F4-A3AE-48F8-B534-1ABCCE13FBF3}" name="ea_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21:B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29107-CE04-4516-BF7F-B320D6142462}" name="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2:B15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n="No auto reneawl" x="1"/>
        <item n="Auto renewal"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CCE2F-DCB4-4A8F-A366-FF7EF1EDDAC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F757C76-762E-4BC7-9473-1F61375A92F7}" sourceName="Subscription Type">
  <pivotTables>
    <pivotTable tabId="3" name="anual_total"/>
    <pivotTable tabId="3" name="ea_seasonpass_total"/>
    <pivotTable tabId="3" name="Tabela dinâmica5"/>
  </pivotTables>
  <data>
    <tabular pivotCacheId="81055678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EE4C0C3-645E-408A-B03B-083A52D5FD79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21" sqref="N2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N21" sqref="N2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35"/>
  <sheetViews>
    <sheetView showGridLines="0" topLeftCell="A13" workbookViewId="0">
      <selection activeCell="U21" sqref="U21"/>
    </sheetView>
  </sheetViews>
  <sheetFormatPr defaultRowHeight="14.4" x14ac:dyDescent="0.3"/>
  <cols>
    <col min="1" max="1" width="16.77734375" bestFit="1" customWidth="1"/>
    <col min="2" max="2" width="32.21875" bestFit="1" customWidth="1"/>
    <col min="3" max="3" width="29.2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1:2" x14ac:dyDescent="0.3">
      <c r="A1" t="s">
        <v>313</v>
      </c>
    </row>
    <row r="3" spans="1:2" x14ac:dyDescent="0.3">
      <c r="A3" s="13" t="s">
        <v>315</v>
      </c>
      <c r="B3" t="s">
        <v>314</v>
      </c>
    </row>
    <row r="4" spans="1:2" x14ac:dyDescent="0.3">
      <c r="A4" s="14" t="s">
        <v>24</v>
      </c>
      <c r="B4" s="12">
        <v>1754</v>
      </c>
    </row>
    <row r="5" spans="1:2" x14ac:dyDescent="0.3">
      <c r="A5" s="14" t="s">
        <v>20</v>
      </c>
      <c r="B5" s="12">
        <v>3571</v>
      </c>
    </row>
    <row r="6" spans="1:2" x14ac:dyDescent="0.3">
      <c r="A6" s="14" t="s">
        <v>27</v>
      </c>
      <c r="B6" s="12">
        <v>2308</v>
      </c>
    </row>
    <row r="7" spans="1:2" x14ac:dyDescent="0.3">
      <c r="A7" s="14" t="s">
        <v>316</v>
      </c>
      <c r="B7" s="12">
        <v>7633</v>
      </c>
    </row>
    <row r="9" spans="1:2" x14ac:dyDescent="0.3">
      <c r="A9" s="14" t="s">
        <v>317</v>
      </c>
    </row>
    <row r="10" spans="1:2" x14ac:dyDescent="0.3">
      <c r="A10" s="13" t="s">
        <v>16</v>
      </c>
      <c r="B10" t="s">
        <v>24</v>
      </c>
    </row>
    <row r="12" spans="1:2" x14ac:dyDescent="0.3">
      <c r="A12" s="13" t="s">
        <v>315</v>
      </c>
      <c r="B12" t="s">
        <v>314</v>
      </c>
    </row>
    <row r="13" spans="1:2" x14ac:dyDescent="0.3">
      <c r="A13" s="14" t="s">
        <v>324</v>
      </c>
      <c r="B13" s="12">
        <v>217</v>
      </c>
    </row>
    <row r="14" spans="1:2" x14ac:dyDescent="0.3">
      <c r="A14" s="14" t="s">
        <v>325</v>
      </c>
      <c r="B14" s="12">
        <v>1537</v>
      </c>
    </row>
    <row r="15" spans="1:2" x14ac:dyDescent="0.3">
      <c r="A15" s="14" t="s">
        <v>316</v>
      </c>
      <c r="B15" s="12">
        <v>1754</v>
      </c>
    </row>
    <row r="17" spans="1:3" x14ac:dyDescent="0.3">
      <c r="A17" s="14" t="s">
        <v>320</v>
      </c>
    </row>
    <row r="19" spans="1:3" x14ac:dyDescent="0.3">
      <c r="A19" s="13" t="s">
        <v>16</v>
      </c>
      <c r="B19" t="s">
        <v>24</v>
      </c>
    </row>
    <row r="21" spans="1:3" x14ac:dyDescent="0.3">
      <c r="A21" s="13" t="s">
        <v>315</v>
      </c>
      <c r="B21" t="s">
        <v>319</v>
      </c>
    </row>
    <row r="22" spans="1:3" x14ac:dyDescent="0.3">
      <c r="A22" s="14" t="s">
        <v>22</v>
      </c>
      <c r="B22" s="12">
        <v>0</v>
      </c>
    </row>
    <row r="23" spans="1:3" x14ac:dyDescent="0.3">
      <c r="A23" s="14" t="s">
        <v>26</v>
      </c>
      <c r="B23" s="12">
        <v>0</v>
      </c>
    </row>
    <row r="24" spans="1:3" x14ac:dyDescent="0.3">
      <c r="A24" s="14" t="s">
        <v>18</v>
      </c>
      <c r="B24" s="12">
        <v>600</v>
      </c>
    </row>
    <row r="25" spans="1:3" x14ac:dyDescent="0.3">
      <c r="A25" s="14" t="s">
        <v>316</v>
      </c>
      <c r="B25" s="12">
        <v>600</v>
      </c>
      <c r="C25" s="16">
        <f>GETPIVOTDATA("EA Play Season Pass
Price",$A$21,"Plan","Ultimate")</f>
        <v>600</v>
      </c>
    </row>
    <row r="27" spans="1:3" x14ac:dyDescent="0.3">
      <c r="A27" t="s">
        <v>321</v>
      </c>
    </row>
    <row r="29" spans="1:3" x14ac:dyDescent="0.3">
      <c r="A29" s="13" t="s">
        <v>16</v>
      </c>
      <c r="B29" t="s">
        <v>24</v>
      </c>
    </row>
    <row r="31" spans="1:3" x14ac:dyDescent="0.3">
      <c r="A31" s="13" t="s">
        <v>315</v>
      </c>
      <c r="B31" t="s">
        <v>322</v>
      </c>
    </row>
    <row r="32" spans="1:3" x14ac:dyDescent="0.3">
      <c r="A32" s="14" t="s">
        <v>22</v>
      </c>
      <c r="B32" s="12">
        <v>0</v>
      </c>
    </row>
    <row r="33" spans="1:3" x14ac:dyDescent="0.3">
      <c r="A33" s="14" t="s">
        <v>26</v>
      </c>
      <c r="B33" s="12">
        <v>540</v>
      </c>
    </row>
    <row r="34" spans="1:3" x14ac:dyDescent="0.3">
      <c r="A34" s="14" t="s">
        <v>18</v>
      </c>
      <c r="B34" s="12">
        <v>400</v>
      </c>
    </row>
    <row r="35" spans="1:3" x14ac:dyDescent="0.3">
      <c r="A35" s="14" t="s">
        <v>316</v>
      </c>
      <c r="B35" s="12">
        <v>940</v>
      </c>
      <c r="C35" s="16">
        <f>GETPIVOTDATA("Minecraft Season Pass Price",$A$31)</f>
        <v>940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Y117"/>
  <sheetViews>
    <sheetView showGridLines="0" showRowColHeaders="0" tabSelected="1" zoomScaleNormal="100" workbookViewId="0">
      <selection activeCell="AH28" sqref="AH28"/>
    </sheetView>
  </sheetViews>
  <sheetFormatPr defaultRowHeight="14.4" x14ac:dyDescent="0.3"/>
  <cols>
    <col min="1" max="1" width="26.109375" style="4" customWidth="1"/>
    <col min="2" max="2" width="3.5546875" customWidth="1"/>
    <col min="12" max="12" width="6.5546875" customWidth="1"/>
  </cols>
  <sheetData>
    <row r="1" spans="1:51" ht="39" customHeight="1" thickBot="1" x14ac:dyDescent="0.6">
      <c r="B1" s="15"/>
      <c r="C1" s="20" t="s">
        <v>318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9"/>
    </row>
    <row r="2" spans="1:51" ht="8.25" customHeight="1" thickTop="1" x14ac:dyDescent="0.3">
      <c r="B2" s="15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51" ht="7.5" customHeight="1" x14ac:dyDescent="0.3">
      <c r="B3" s="15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51" ht="10.199999999999999" customHeight="1" x14ac:dyDescent="0.3">
      <c r="B4" s="15"/>
    </row>
    <row r="5" spans="1:51" ht="16.2" customHeight="1" x14ac:dyDescent="0.35">
      <c r="B5" s="7"/>
      <c r="C5" s="21" t="s">
        <v>323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51" ht="33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ht="16.8" x14ac:dyDescent="0.4">
      <c r="A9" s="22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2:51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2:5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2:5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2:51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2:51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2:51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2:51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2:51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2:5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2:5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2:5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2:51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2:5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2:51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2:51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2:51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2:5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2:51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2:51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2:51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2:51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2:51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2:51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2:51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2:51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2:51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2:51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2:5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2:51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2:51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2:5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2:51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2:5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2:51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2:51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2:5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2:51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2:51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2:51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2:51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2:51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2:51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2:51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2:51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2:51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2:5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2:51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2:51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2:5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2:51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2:51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2:51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2:51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2:5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2:5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2:5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2:51" x14ac:dyDescent="0.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2:51" x14ac:dyDescent="0.3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2:51" x14ac:dyDescent="0.3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2:51" x14ac:dyDescent="0.3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2:51" x14ac:dyDescent="0.3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2:51" x14ac:dyDescent="0.3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2:51" x14ac:dyDescent="0.3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2:51" x14ac:dyDescent="0.3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2:51" x14ac:dyDescent="0.3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2:51" x14ac:dyDescent="0.3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2:51" x14ac:dyDescent="0.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2:51" x14ac:dyDescent="0.3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2:51" x14ac:dyDescent="0.3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2:51" x14ac:dyDescent="0.3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2:5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2:51" x14ac:dyDescent="0.3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2:51" x14ac:dyDescent="0.3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2:51" x14ac:dyDescent="0.3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2:51" x14ac:dyDescent="0.3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2:51" x14ac:dyDescent="0.3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2:51" x14ac:dyDescent="0.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2:51" x14ac:dyDescent="0.3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2:51" x14ac:dyDescent="0.3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2:51" x14ac:dyDescent="0.3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2:51" x14ac:dyDescent="0.3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2:51" x14ac:dyDescent="0.3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2:51" x14ac:dyDescent="0.3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2:51" x14ac:dyDescent="0.3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2:51" x14ac:dyDescent="0.3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2:51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2:51" x14ac:dyDescent="0.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2:51" x14ac:dyDescent="0.3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2:51" x14ac:dyDescent="0.3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2:51" x14ac:dyDescent="0.3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2:51" x14ac:dyDescent="0.3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2:51" x14ac:dyDescent="0.3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2:51" x14ac:dyDescent="0.3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2:51" x14ac:dyDescent="0.3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2:51" x14ac:dyDescent="0.3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2:51" x14ac:dyDescent="0.3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2:51" x14ac:dyDescent="0.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2:51" x14ac:dyDescent="0.3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2:51" x14ac:dyDescent="0.3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2:51" x14ac:dyDescent="0.3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2:51" x14ac:dyDescent="0.3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Jonatha Briano</cp:lastModifiedBy>
  <dcterms:created xsi:type="dcterms:W3CDTF">2024-12-19T13:13:10Z</dcterms:created>
  <dcterms:modified xsi:type="dcterms:W3CDTF">2026-01-12T01:58:47Z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